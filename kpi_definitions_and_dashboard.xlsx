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Definitions_and_Impact" sheetId="1" state="visible" r:id="rId1"/>
    <sheet xmlns:r="http://schemas.openxmlformats.org/officeDocument/2006/relationships" name="State_Wise_Returns_INR" sheetId="2" state="visible" r:id="rId2"/>
  </sheets>
  <definedNames>
    <definedName name="_xlnm._FilterDatabase" localSheetId="0" hidden="1">'KPI_Definitions_and_Impact'!$A$4:$H$10</definedName>
    <definedName name="_xlnm._FilterDatabase" localSheetId="1" hidden="1">'State_Wise_Returns_INR'!$A$4:$G$20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3.5"/>
    </font>
    <font>
      <name val="Calibri"/>
      <b val="1"/>
      <color rgb="00FFFFFF"/>
      <sz val="10"/>
    </font>
    <font>
      <name val="Calibri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6CB0"/>
        <bgColor rgb="002B6CB0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164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Retained Revenue (Exchange/Wallet) vs. Fraud Leakage by State (INR)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'State_Wise_Returns_INR'!E4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'State_Wise_Returns_INR'!$A$5:$B$20</f>
            </numRef>
          </cat>
          <val>
            <numRef>
              <f>'State_Wise_Returns_INR'!$E$5:$E$20</f>
            </numRef>
          </val>
        </ser>
        <ser>
          <idx val="1"/>
          <order val="1"/>
          <tx>
            <strRef>
              <f>'State_Wise_Returns_INR'!F4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'State_Wise_Returns_INR'!$A$5:$B$20</f>
            </numRef>
          </cat>
          <val>
            <numRef>
              <f>'State_Wise_Returns_INR'!$F$5:$F$20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State &amp; 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in INR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4" customWidth="1" min="3" max="3"/>
    <col width="15" customWidth="1" min="4" max="4"/>
    <col width="20" customWidth="1" min="5" max="5"/>
    <col width="22" customWidth="1" min="6" max="6"/>
    <col width="20" customWidth="1" min="7" max="7"/>
    <col width="38" customWidth="1" min="8" max="8"/>
  </cols>
  <sheetData>
    <row r="1">
      <c r="A1" s="1" t="inlineStr">
        <is>
          <t>KPI DEFINITIONS — DESCRIPTIVE SUMMARY OF SYNTHETIC DATA</t>
        </is>
      </c>
    </row>
    <row r="2"/>
    <row r="3"/>
    <row r="4" ht="28" customHeight="1">
      <c r="A4" s="2" t="inlineStr">
        <is>
          <t>KPI ID</t>
        </is>
      </c>
      <c r="B4" s="2" t="inlineStr">
        <is>
          <t>KPI Name</t>
        </is>
      </c>
      <c r="C4" s="2" t="inlineStr">
        <is>
          <t>Formula / Calculation Logic</t>
        </is>
      </c>
      <c r="D4" s="2" t="inlineStr">
        <is>
          <t>Unit</t>
        </is>
      </c>
      <c r="E4" s="2" t="inlineStr">
        <is>
          <t>Pre-redesign synthetic records</t>
        </is>
      </c>
      <c r="F4" s="2" t="inlineStr">
        <is>
          <t>Post-redesign synthetic records</t>
        </is>
      </c>
      <c r="G4" s="2" t="inlineStr">
        <is>
          <t>Difference (descriptive)</t>
        </is>
      </c>
      <c r="H4" s="2" t="inlineStr">
        <is>
          <t>Interpretation / limitation</t>
        </is>
      </c>
    </row>
    <row r="5" ht="26" customHeight="1">
      <c r="A5" s="3" t="inlineStr">
        <is>
          <t>KPI-01</t>
        </is>
      </c>
      <c r="B5" s="3" t="inlineStr">
        <is>
          <t>Average refund turnaround time</t>
        </is>
      </c>
      <c r="C5" s="3" t="inlineStr">
        <is>
          <t>Mean(Refund_Turnaround_Hours)</t>
        </is>
      </c>
      <c r="D5" s="3" t="inlineStr">
        <is>
          <t>Hours</t>
        </is>
      </c>
      <c r="E5" s="3" t="inlineStr">
        <is>
          <t>226.98</t>
        </is>
      </c>
      <c r="F5" s="3" t="inlineStr">
        <is>
          <t>10.24</t>
        </is>
      </c>
      <c r="G5" s="3" t="inlineStr">
        <is>
          <t>Descriptive difference only</t>
        </is>
      </c>
      <c r="H5" s="3" t="inlineStr">
        <is>
          <t>Synthetic field; not a measured operational SLA.</t>
        </is>
      </c>
    </row>
    <row r="6" ht="26" customHeight="1">
      <c r="A6" s="4" t="inlineStr">
        <is>
          <t>KPI-02</t>
        </is>
      </c>
      <c r="B6" s="4" t="inlineStr">
        <is>
          <t>Exchange / wallet retention rate</t>
        </is>
      </c>
      <c r="C6" s="4" t="inlineStr">
        <is>
          <t>Requires validated Resolution_Path categories and denominator</t>
        </is>
      </c>
      <c r="D6" s="4" t="inlineStr">
        <is>
          <t>Not reported</t>
        </is>
      </c>
      <c r="E6" s="4" t="inlineStr">
        <is>
          <t>Not calculated</t>
        </is>
      </c>
      <c r="F6" s="4" t="inlineStr">
        <is>
          <t>Not calculated</t>
        </is>
      </c>
      <c r="G6" s="4" t="inlineStr">
        <is>
          <t>Not available from current definition</t>
        </is>
      </c>
      <c r="H6" s="4" t="inlineStr">
        <is>
          <t>Define included resolution paths before calculating.</t>
        </is>
      </c>
    </row>
    <row r="7" ht="26" customHeight="1">
      <c r="A7" s="3" t="inlineStr">
        <is>
          <t>KPI-03</t>
        </is>
      </c>
      <c r="B7" s="3" t="inlineStr">
        <is>
          <t>WISMR ticket rate</t>
        </is>
      </c>
      <c r="C7" s="3" t="inlineStr">
        <is>
          <t>Count(WISMR_Support_Ticket_Raised = Yes) / all records</t>
        </is>
      </c>
      <c r="D7" s="3" t="inlineStr">
        <is>
          <t>Percentage</t>
        </is>
      </c>
      <c r="E7" s="3" t="inlineStr">
        <is>
          <t>41.65%</t>
        </is>
      </c>
      <c r="F7" s="3" t="inlineStr">
        <is>
          <t>8.71%</t>
        </is>
      </c>
      <c r="G7" s="3" t="inlineStr">
        <is>
          <t>Descriptive difference only</t>
        </is>
      </c>
      <c r="H7" s="3" t="inlineStr">
        <is>
          <t>Synthetic labels; not a real support-ticket audit.</t>
        </is>
      </c>
    </row>
    <row r="8" ht="26" customHeight="1">
      <c r="A8" s="4" t="inlineStr">
        <is>
          <t>KPI-04</t>
        </is>
      </c>
      <c r="B8" s="4" t="inlineStr">
        <is>
          <t>Pay on Delivery (PoD / COD) first-attempt payout success</t>
        </is>
      </c>
      <c r="C8" s="4" t="inlineStr">
        <is>
          <t>Requires payout attempt outcome field</t>
        </is>
      </c>
      <c r="D8" s="4" t="inlineStr">
        <is>
          <t>Not reported</t>
        </is>
      </c>
      <c r="E8" s="4" t="inlineStr">
        <is>
          <t>Not available</t>
        </is>
      </c>
      <c r="F8" s="4" t="inlineStr">
        <is>
          <t>Not available</t>
        </is>
      </c>
      <c r="G8" s="4" t="inlineStr">
        <is>
          <t>Cannot be calculated</t>
        </is>
      </c>
      <c r="H8" s="4" t="inlineStr">
        <is>
          <t>Dataset has payment mode but no payout outcome.</t>
        </is>
      </c>
    </row>
    <row r="9" ht="26" customHeight="1">
      <c r="A9" s="3" t="inlineStr">
        <is>
          <t>KPI-05</t>
        </is>
      </c>
      <c r="B9" s="3" t="inlineStr">
        <is>
          <t>Fraud leakage ratio</t>
        </is>
      </c>
      <c r="C9" s="3" t="inlineStr">
        <is>
          <t>Sum(Fraud_Leakage_INR) / Sum(Order_Value_INR)</t>
        </is>
      </c>
      <c r="D9" s="3" t="inlineStr">
        <is>
          <t>Percentage</t>
        </is>
      </c>
      <c r="E9" s="3" t="inlineStr">
        <is>
          <t>7.90%</t>
        </is>
      </c>
      <c r="F9" s="3" t="inlineStr">
        <is>
          <t>1.32%</t>
        </is>
      </c>
      <c r="G9" s="3" t="inlineStr">
        <is>
          <t>Descriptive difference only</t>
        </is>
      </c>
      <c r="H9" s="3" t="inlineStr">
        <is>
          <t>Denominator is order value, not returned GMV; synthetic values.</t>
        </is>
      </c>
    </row>
    <row r="10" ht="26" customHeight="1">
      <c r="A10" s="4" t="inlineStr">
        <is>
          <t>KPI-06</t>
        </is>
      </c>
      <c r="B10" s="4" t="inlineStr">
        <is>
          <t>Average customer CSAT</t>
        </is>
      </c>
      <c r="C10" s="4" t="inlineStr">
        <is>
          <t>Mean(Customer_CSAT_1to5)</t>
        </is>
      </c>
      <c r="D10" s="4" t="inlineStr">
        <is>
          <t>Score (1–5)</t>
        </is>
      </c>
      <c r="E10" s="4" t="inlineStr">
        <is>
          <t>2.32</t>
        </is>
      </c>
      <c r="F10" s="4" t="inlineStr">
        <is>
          <t>4.23</t>
        </is>
      </c>
      <c r="G10" s="4" t="inlineStr">
        <is>
          <t>Descriptive difference only</t>
        </is>
      </c>
      <c r="H10" s="4" t="inlineStr">
        <is>
          <t>Synthetic ratings; not a measured customer survey.</t>
        </is>
      </c>
    </row>
  </sheetData>
  <autoFilter ref="A4:H10"/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22" customWidth="1" min="4" max="4"/>
    <col width="34" customWidth="1" min="5" max="5"/>
    <col width="22" customWidth="1" min="6" max="6"/>
    <col width="18" customWidth="1" min="7" max="7"/>
  </cols>
  <sheetData>
    <row r="1">
      <c r="A1" s="1" t="inlineStr">
        <is>
          <t>STATE-WISE SYNTHETIC RETURNS DATA — DESCRIPTIVE SUMMARY</t>
        </is>
      </c>
    </row>
    <row r="2"/>
    <row r="3"/>
    <row r="4" ht="28" customHeight="1">
      <c r="A4" s="2" t="inlineStr">
        <is>
          <t>Indian State</t>
        </is>
      </c>
      <c r="B4" s="2" t="inlineStr">
        <is>
          <t>Implementation Phase</t>
        </is>
      </c>
      <c r="C4" s="2" t="inlineStr">
        <is>
          <t>Audited Returns</t>
        </is>
      </c>
      <c r="D4" s="2" t="inlineStr">
        <is>
          <t>Avg Refund TAT (Hours)</t>
        </is>
      </c>
      <c r="E4" s="2" t="inlineStr">
        <is>
          <t>Retained Revenue via Exchange/Wallet (₹)</t>
        </is>
      </c>
      <c r="F4" s="2" t="inlineStr">
        <is>
          <t>Fraud Leakage (₹)</t>
        </is>
      </c>
      <c r="G4" s="2" t="inlineStr">
        <is>
          <t>Avg CSAT (1-5)</t>
        </is>
      </c>
    </row>
    <row r="5" ht="26" customHeight="1">
      <c r="A5" s="3" t="inlineStr">
        <is>
          <t>Delhi NCR</t>
        </is>
      </c>
      <c r="B5" s="3" t="inlineStr">
        <is>
          <t>Post-Redesign (To-Be)</t>
        </is>
      </c>
      <c r="C5" s="3" t="n">
        <v>348</v>
      </c>
      <c r="D5" s="3" t="n">
        <v>9.6</v>
      </c>
      <c r="E5" s="5" t="n">
        <v>378580</v>
      </c>
      <c r="F5" s="5" t="n">
        <v>11830</v>
      </c>
      <c r="G5" s="3" t="n">
        <v>4.25</v>
      </c>
    </row>
    <row r="6" ht="26" customHeight="1">
      <c r="A6" s="4" t="inlineStr">
        <is>
          <t>Delhi NCR</t>
        </is>
      </c>
      <c r="B6" s="4" t="inlineStr">
        <is>
          <t>Pre-Redesign (As-Is)</t>
        </is>
      </c>
      <c r="C6" s="4" t="n">
        <v>348</v>
      </c>
      <c r="D6" s="4" t="n">
        <v>228.2</v>
      </c>
      <c r="E6" s="6" t="n">
        <v>59500</v>
      </c>
      <c r="F6" s="6" t="n">
        <v>36830</v>
      </c>
      <c r="G6" s="4" t="n">
        <v>2.36</v>
      </c>
    </row>
    <row r="7" ht="26" customHeight="1">
      <c r="A7" s="3" t="inlineStr">
        <is>
          <t>Gujarat</t>
        </is>
      </c>
      <c r="B7" s="3" t="inlineStr">
        <is>
          <t>Post-Redesign (To-Be)</t>
        </is>
      </c>
      <c r="C7" s="3" t="n">
        <v>416</v>
      </c>
      <c r="D7" s="3" t="n">
        <v>11</v>
      </c>
      <c r="E7" s="5" t="n">
        <v>419940</v>
      </c>
      <c r="F7" s="5" t="n">
        <v>4220</v>
      </c>
      <c r="G7" s="3" t="n">
        <v>4.19</v>
      </c>
    </row>
    <row r="8" ht="26" customHeight="1">
      <c r="A8" s="4" t="inlineStr">
        <is>
          <t>Gujarat</t>
        </is>
      </c>
      <c r="B8" s="4" t="inlineStr">
        <is>
          <t>Pre-Redesign (As-Is)</t>
        </is>
      </c>
      <c r="C8" s="4" t="n">
        <v>468</v>
      </c>
      <c r="D8" s="4" t="n">
        <v>226.8</v>
      </c>
      <c r="E8" s="6" t="n">
        <v>96940</v>
      </c>
      <c r="F8" s="6" t="n">
        <v>81300</v>
      </c>
      <c r="G8" s="4" t="n">
        <v>2.4</v>
      </c>
    </row>
    <row r="9" ht="26" customHeight="1">
      <c r="A9" s="3" t="inlineStr">
        <is>
          <t>Karnataka</t>
        </is>
      </c>
      <c r="B9" s="3" t="inlineStr">
        <is>
          <t>Post-Redesign (To-Be)</t>
        </is>
      </c>
      <c r="C9" s="3" t="n">
        <v>418</v>
      </c>
      <c r="D9" s="3" t="n">
        <v>9.5</v>
      </c>
      <c r="E9" s="5" t="n">
        <v>445430</v>
      </c>
      <c r="F9" s="5" t="n">
        <v>7740</v>
      </c>
      <c r="G9" s="3" t="n">
        <v>4.23</v>
      </c>
    </row>
    <row r="10" ht="26" customHeight="1">
      <c r="A10" s="4" t="inlineStr">
        <is>
          <t>Karnataka</t>
        </is>
      </c>
      <c r="B10" s="4" t="inlineStr">
        <is>
          <t>Pre-Redesign (As-Is)</t>
        </is>
      </c>
      <c r="C10" s="4" t="n">
        <v>412</v>
      </c>
      <c r="D10" s="4" t="n">
        <v>229.7</v>
      </c>
      <c r="E10" s="6" t="n">
        <v>85320</v>
      </c>
      <c r="F10" s="6" t="n">
        <v>77940</v>
      </c>
      <c r="G10" s="4" t="n">
        <v>2.33</v>
      </c>
    </row>
    <row r="11" ht="26" customHeight="1">
      <c r="A11" s="3" t="inlineStr">
        <is>
          <t>Maharashtra</t>
        </is>
      </c>
      <c r="B11" s="3" t="inlineStr">
        <is>
          <t>Post-Redesign (To-Be)</t>
        </is>
      </c>
      <c r="C11" s="3" t="n">
        <v>499</v>
      </c>
      <c r="D11" s="3" t="n">
        <v>10.9</v>
      </c>
      <c r="E11" s="5" t="n">
        <v>479150</v>
      </c>
      <c r="F11" s="5" t="n">
        <v>21730</v>
      </c>
      <c r="G11" s="3" t="n">
        <v>4.22</v>
      </c>
    </row>
    <row r="12" ht="26" customHeight="1">
      <c r="A12" s="4" t="inlineStr">
        <is>
          <t>Maharashtra</t>
        </is>
      </c>
      <c r="B12" s="4" t="inlineStr">
        <is>
          <t>Pre-Redesign (As-Is)</t>
        </is>
      </c>
      <c r="C12" s="4" t="n">
        <v>500</v>
      </c>
      <c r="D12" s="4" t="n">
        <v>226.8</v>
      </c>
      <c r="E12" s="6" t="n">
        <v>109980</v>
      </c>
      <c r="F12" s="6" t="n">
        <v>76430</v>
      </c>
      <c r="G12" s="4" t="n">
        <v>2.28</v>
      </c>
    </row>
    <row r="13" ht="26" customHeight="1">
      <c r="A13" s="3" t="inlineStr">
        <is>
          <t>Rajasthan</t>
        </is>
      </c>
      <c r="B13" s="3" t="inlineStr">
        <is>
          <t>Post-Redesign (To-Be)</t>
        </is>
      </c>
      <c r="C13" s="3" t="n">
        <v>188</v>
      </c>
      <c r="D13" s="3" t="n">
        <v>10</v>
      </c>
      <c r="E13" s="5" t="n">
        <v>234270</v>
      </c>
      <c r="F13" s="5" t="n">
        <v>2370</v>
      </c>
      <c r="G13" s="3" t="n">
        <v>4.27</v>
      </c>
    </row>
    <row r="14" ht="26" customHeight="1">
      <c r="A14" s="4" t="inlineStr">
        <is>
          <t>Rajasthan</t>
        </is>
      </c>
      <c r="B14" s="4" t="inlineStr">
        <is>
          <t>Pre-Redesign (As-Is)</t>
        </is>
      </c>
      <c r="C14" s="4" t="n">
        <v>212</v>
      </c>
      <c r="D14" s="4" t="n">
        <v>228.3</v>
      </c>
      <c r="E14" s="6" t="n">
        <v>53170</v>
      </c>
      <c r="F14" s="6" t="n">
        <v>40200</v>
      </c>
      <c r="G14" s="4" t="n">
        <v>2.3</v>
      </c>
    </row>
    <row r="15" ht="26" customHeight="1">
      <c r="A15" s="3" t="inlineStr">
        <is>
          <t>Tamil Nadu</t>
        </is>
      </c>
      <c r="B15" s="3" t="inlineStr">
        <is>
          <t>Post-Redesign (To-Be)</t>
        </is>
      </c>
      <c r="C15" s="3" t="n">
        <v>279</v>
      </c>
      <c r="D15" s="3" t="n">
        <v>10.2</v>
      </c>
      <c r="E15" s="5" t="n">
        <v>330040</v>
      </c>
      <c r="F15" s="5" t="n">
        <v>9820</v>
      </c>
      <c r="G15" s="3" t="n">
        <v>4.34</v>
      </c>
    </row>
    <row r="16" ht="26" customHeight="1">
      <c r="A16" s="4" t="inlineStr">
        <is>
          <t>Tamil Nadu</t>
        </is>
      </c>
      <c r="B16" s="4" t="inlineStr">
        <is>
          <t>Pre-Redesign (As-Is)</t>
        </is>
      </c>
      <c r="C16" s="4" t="n">
        <v>237</v>
      </c>
      <c r="D16" s="4" t="n">
        <v>227.4</v>
      </c>
      <c r="E16" s="6" t="n">
        <v>41730</v>
      </c>
      <c r="F16" s="6" t="n">
        <v>40910</v>
      </c>
      <c r="G16" s="4" t="n">
        <v>2.21</v>
      </c>
    </row>
    <row r="17" ht="26" customHeight="1">
      <c r="A17" s="3" t="inlineStr">
        <is>
          <t>Telangana</t>
        </is>
      </c>
      <c r="B17" s="3" t="inlineStr">
        <is>
          <t>Post-Redesign (To-Be)</t>
        </is>
      </c>
      <c r="C17" s="3" t="n">
        <v>184</v>
      </c>
      <c r="D17" s="3" t="n">
        <v>10.2</v>
      </c>
      <c r="E17" s="5" t="n">
        <v>185760</v>
      </c>
      <c r="F17" s="5" t="n">
        <v>7330</v>
      </c>
      <c r="G17" s="3" t="n">
        <v>4.17</v>
      </c>
    </row>
    <row r="18" ht="26" customHeight="1">
      <c r="A18" s="4" t="inlineStr">
        <is>
          <t>Telangana</t>
        </is>
      </c>
      <c r="B18" s="4" t="inlineStr">
        <is>
          <t>Pre-Redesign (As-Is)</t>
        </is>
      </c>
      <c r="C18" s="4" t="n">
        <v>182</v>
      </c>
      <c r="D18" s="4" t="n">
        <v>219.4</v>
      </c>
      <c r="E18" s="6" t="n">
        <v>25260</v>
      </c>
      <c r="F18" s="6" t="n">
        <v>7970</v>
      </c>
      <c r="G18" s="4" t="n">
        <v>2.29</v>
      </c>
    </row>
    <row r="19" ht="26" customHeight="1">
      <c r="A19" s="3" t="inlineStr">
        <is>
          <t>West Bengal</t>
        </is>
      </c>
      <c r="B19" s="3" t="inlineStr">
        <is>
          <t>Post-Redesign (To-Be)</t>
        </is>
      </c>
      <c r="C19" s="3" t="n">
        <v>147</v>
      </c>
      <c r="D19" s="3" t="n">
        <v>10.3</v>
      </c>
      <c r="E19" s="5" t="n">
        <v>156800</v>
      </c>
      <c r="F19" s="5" t="n">
        <v>0</v>
      </c>
      <c r="G19" s="3" t="n">
        <v>4.16</v>
      </c>
    </row>
    <row r="20" ht="26" customHeight="1">
      <c r="A20" s="4" t="inlineStr">
        <is>
          <t>West Bengal</t>
        </is>
      </c>
      <c r="B20" s="4" t="inlineStr">
        <is>
          <t>Pre-Redesign (As-Is)</t>
        </is>
      </c>
      <c r="C20" s="4" t="n">
        <v>162</v>
      </c>
      <c r="D20" s="4" t="n">
        <v>224.6</v>
      </c>
      <c r="E20" s="6" t="n">
        <v>32650</v>
      </c>
      <c r="F20" s="6" t="n">
        <v>29230</v>
      </c>
      <c r="G20" s="4" t="n">
        <v>2.35</v>
      </c>
    </row>
  </sheetData>
  <autoFilter ref="A4:G20"/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2026-10-25T19:12:11Z</dcterms:created>
  <dcterms:modified xmlns:dcterms="http://purl.org/dc/terms/" xmlns:xsi="http://www.w3.org/2001/XMLSchema-instance" xsi:type="dcterms:W3CDTF">2026-10-26T17:58:19Z</dcterms:modified>
</cp:coreProperties>
</file>